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erodrigues/Desktop/faculdade/7° semestre/Análise e projeto de software/"/>
    </mc:Choice>
  </mc:AlternateContent>
  <xr:revisionPtr revIDLastSave="0" documentId="13_ncr:1_{84D50962-EB93-AA48-A39D-2E77E6798C6A}" xr6:coauthVersionLast="47" xr6:coauthVersionMax="47" xr10:uidLastSave="{00000000-0000-0000-0000-000000000000}"/>
  <bookViews>
    <workbookView xWindow="0" yWindow="780" windowWidth="36000" windowHeight="20860" tabRatio="745" activeTab="8" xr2:uid="{00000000-000D-0000-FFFF-FFFF00000000}"/>
  </bookViews>
  <sheets>
    <sheet name="Autenticação e Acesso Discreto " sheetId="1" r:id="rId1"/>
    <sheet name="Gerenciamento de Notas" sheetId="9" r:id="rId2"/>
    <sheet name="Configuração de Emergência" sheetId="10" r:id="rId3"/>
    <sheet name="Processamento de Alerta SOS" sheetId="11" r:id="rId4"/>
    <sheet name="Mapa ao vivo" sheetId="12" state="hidden" r:id="rId5"/>
    <sheet name="Minhas viagens" sheetId="13" state="hidden" r:id="rId6"/>
    <sheet name="Configurações" sheetId="14" state="hidden" r:id="rId7"/>
    <sheet name="Perfil " sheetId="15" state="hidden" r:id="rId8"/>
    <sheet name="Calcular Ponto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8" l="1"/>
  <c r="D13" i="9"/>
  <c r="D15" i="9" s="1"/>
  <c r="D14" i="10"/>
  <c r="D16" i="10" s="1"/>
  <c r="D5" i="8" s="1"/>
  <c r="D11" i="15"/>
  <c r="D13" i="15" s="1"/>
  <c r="D11" i="14"/>
  <c r="D13" i="14" s="1"/>
  <c r="D11" i="13"/>
  <c r="D13" i="13" s="1"/>
  <c r="D12" i="12"/>
  <c r="D14" i="12" s="1"/>
  <c r="D12" i="11"/>
  <c r="D14" i="11" s="1"/>
  <c r="D11" i="1"/>
  <c r="D13" i="1" s="1"/>
  <c r="D8" i="8" l="1"/>
  <c r="D9" i="8" s="1"/>
</calcChain>
</file>

<file path=xl/sharedStrings.xml><?xml version="1.0" encoding="utf-8"?>
<sst xmlns="http://schemas.openxmlformats.org/spreadsheetml/2006/main" count="229" uniqueCount="68">
  <si>
    <t xml:space="preserve">Funções de Transação </t>
  </si>
  <si>
    <t>Funcionalidade</t>
  </si>
  <si>
    <t>Tipo</t>
  </si>
  <si>
    <t>Complexidade</t>
  </si>
  <si>
    <t>Pontos de Função</t>
  </si>
  <si>
    <t>Funções de Dados</t>
  </si>
  <si>
    <t xml:space="preserve">Arquivo </t>
  </si>
  <si>
    <t>Total de Pontos de Função</t>
  </si>
  <si>
    <t>Total de Pontos de Função Ajustados</t>
  </si>
  <si>
    <t>Fator de Ajuste</t>
  </si>
  <si>
    <t>Total de Pontos de Função NãoAjustados</t>
  </si>
  <si>
    <t>Sistema de Gestão de Contratos</t>
  </si>
  <si>
    <t xml:space="preserve">Valor </t>
  </si>
  <si>
    <t>EE</t>
  </si>
  <si>
    <t>Médio</t>
  </si>
  <si>
    <t>Simples</t>
  </si>
  <si>
    <t>ALI</t>
  </si>
  <si>
    <t>CE</t>
  </si>
  <si>
    <t>SE</t>
  </si>
  <si>
    <t>Arquivo de Notificações</t>
  </si>
  <si>
    <t>Tela: Mapa ao vivo</t>
  </si>
  <si>
    <t>Exibir veículos em tempo real</t>
  </si>
  <si>
    <t>Atualizar localização do usuário</t>
  </si>
  <si>
    <t>Arquivo de Localizações</t>
  </si>
  <si>
    <t>Integração com API de Transporte/Uber</t>
  </si>
  <si>
    <t>Complexo</t>
  </si>
  <si>
    <t>AIE</t>
  </si>
  <si>
    <t>Tela: Minhas viagens</t>
  </si>
  <si>
    <t>Listar viagens salvas</t>
  </si>
  <si>
    <t>Salvar viagem como favorita</t>
  </si>
  <si>
    <t>Arquivo de Favoritos</t>
  </si>
  <si>
    <t>Tela: Configurações</t>
  </si>
  <si>
    <t>Alterar configurações de conta</t>
  </si>
  <si>
    <t>Gerenciar notificações</t>
  </si>
  <si>
    <t>Arquivo de Configurações</t>
  </si>
  <si>
    <t>Editar perfil do usuário</t>
  </si>
  <si>
    <t>Definir preferências de transporte (Uber/Ônibus/Metrô)</t>
  </si>
  <si>
    <t>Arquivo de Perfil/Preferências</t>
  </si>
  <si>
    <t>Tela: Perfil</t>
  </si>
  <si>
    <t>Sistema: Bloco de Notas SOS</t>
  </si>
  <si>
    <t>Baixa</t>
  </si>
  <si>
    <t>Sistema Bloco de Notas SOS</t>
  </si>
  <si>
    <t>Tela: Autenticação e Acesso Discreto (Menu Secreto)</t>
  </si>
  <si>
    <t>Validar Senha de Acesso</t>
  </si>
  <si>
    <t>Validar Biometria (Digital/Facial)</t>
  </si>
  <si>
    <t>Arquivo de Credenciais (Segurança) |</t>
  </si>
  <si>
    <t>Tela: Gerenciamento de Notas (Interface Principal)</t>
  </si>
  <si>
    <t>Inserir Nova Nota</t>
  </si>
  <si>
    <t>Alterar Nota Existente</t>
  </si>
  <si>
    <t>Excluir Nota</t>
  </si>
  <si>
    <t>Consultar/Listar Notas</t>
  </si>
  <si>
    <t>Arquivo de Notas (Notas.db)</t>
  </si>
  <si>
    <t>Tela: Configuração de Emergência</t>
  </si>
  <si>
    <t>Cadastrar Contato de Emergência</t>
  </si>
  <si>
    <t>Editar/Excluir Contato</t>
  </si>
  <si>
    <t>Configurar Palavra-chave de Gatilho</t>
  </si>
  <si>
    <t>Configurar Protocolo (SMS ou Chamada)</t>
  </si>
  <si>
    <t>Arquivo de Contatos de Confiança</t>
  </si>
  <si>
    <t>Complexxidade</t>
  </si>
  <si>
    <t>Tela: Processamento de Alerta SOS (Motor de Emergência)</t>
  </si>
  <si>
    <t>Capturar Coordenadas GPS (Localização)</t>
  </si>
  <si>
    <t>Disparar Alerta SMS (Via Twilio)</t>
  </si>
  <si>
    <t>Iniciar Chamada de Voz Automática</t>
  </si>
  <si>
    <t>Interface API Twilio (Serviço Externo)</t>
  </si>
  <si>
    <t xml:space="preserve">Tela Autenticação e Acesso Discreto </t>
  </si>
  <si>
    <t>Tela Gerenciamento de Notas (Interface Principal)</t>
  </si>
  <si>
    <t>Tela Configuração de Emergência</t>
  </si>
  <si>
    <t>Tela Processamento de Alerta 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</si>
</sst>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44" fontId="0" fillId="2" borderId="0" xfId="1" applyFont="1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258" workbookViewId="0">
      <selection activeCell="C5" sqref="C5"/>
    </sheetView>
  </sheetViews>
  <sheetFormatPr baseColWidth="10" defaultColWidth="8.83203125" defaultRowHeight="15" x14ac:dyDescent="0.2"/>
  <cols>
    <col min="1" max="1" width="4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41</v>
      </c>
      <c r="B1" s="8"/>
      <c r="C1" s="8"/>
      <c r="D1" s="8"/>
    </row>
    <row r="2" spans="1:4" x14ac:dyDescent="0.2">
      <c r="A2" s="7" t="s">
        <v>42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43</v>
      </c>
      <c r="B5" s="2" t="s">
        <v>17</v>
      </c>
      <c r="C5" s="2" t="s">
        <v>40</v>
      </c>
      <c r="D5" s="2">
        <v>3</v>
      </c>
    </row>
    <row r="6" spans="1:4" x14ac:dyDescent="0.2">
      <c r="A6" s="2" t="s">
        <v>44</v>
      </c>
      <c r="B6" s="2" t="s">
        <v>17</v>
      </c>
      <c r="C6" s="2" t="s">
        <v>40</v>
      </c>
      <c r="D6" s="2">
        <v>3</v>
      </c>
    </row>
    <row r="7" spans="1:4" x14ac:dyDescent="0.2">
      <c r="A7" s="9" t="s">
        <v>5</v>
      </c>
      <c r="B7" s="9"/>
      <c r="C7" s="9"/>
      <c r="D7" s="9"/>
    </row>
    <row r="8" spans="1:4" x14ac:dyDescent="0.2">
      <c r="A8" s="1" t="s">
        <v>6</v>
      </c>
      <c r="B8" s="1" t="s">
        <v>2</v>
      </c>
      <c r="C8" s="1" t="s">
        <v>3</v>
      </c>
      <c r="D8" s="1" t="s">
        <v>4</v>
      </c>
    </row>
    <row r="9" spans="1:4" x14ac:dyDescent="0.2">
      <c r="A9" s="2" t="s">
        <v>45</v>
      </c>
      <c r="B9" s="2" t="s">
        <v>16</v>
      </c>
      <c r="C9" s="2" t="s">
        <v>40</v>
      </c>
      <c r="D9" s="2">
        <v>7</v>
      </c>
    </row>
    <row r="10" spans="1:4" x14ac:dyDescent="0.2">
      <c r="A10" s="9" t="s">
        <v>7</v>
      </c>
      <c r="B10" s="9"/>
      <c r="C10" s="9"/>
      <c r="D10" s="9"/>
    </row>
    <row r="11" spans="1:4" x14ac:dyDescent="0.2">
      <c r="A11" s="7" t="s">
        <v>10</v>
      </c>
      <c r="B11" s="7"/>
      <c r="C11" s="7"/>
      <c r="D11" s="2">
        <f>SUM(D10,D5:D6,D9:D9)</f>
        <v>13</v>
      </c>
    </row>
    <row r="12" spans="1:4" x14ac:dyDescent="0.2">
      <c r="A12" s="7" t="s">
        <v>9</v>
      </c>
      <c r="B12" s="7"/>
      <c r="C12" s="7"/>
      <c r="D12" s="2">
        <v>1.05</v>
      </c>
    </row>
    <row r="13" spans="1:4" x14ac:dyDescent="0.2">
      <c r="A13" s="7" t="s">
        <v>8</v>
      </c>
      <c r="B13" s="7"/>
      <c r="C13" s="7"/>
      <c r="D13" s="2">
        <f>D11*D12</f>
        <v>13.65</v>
      </c>
    </row>
  </sheetData>
  <mergeCells count="8">
    <mergeCell ref="A11:C11"/>
    <mergeCell ref="A12:C12"/>
    <mergeCell ref="A13:C13"/>
    <mergeCell ref="A1:D1"/>
    <mergeCell ref="A2:D2"/>
    <mergeCell ref="A3:D3"/>
    <mergeCell ref="A7:D7"/>
    <mergeCell ref="A10:D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FAE8-B41C-43EB-8ECD-34383E32AD2B}">
  <dimension ref="A1:D15"/>
  <sheetViews>
    <sheetView zoomScale="158" workbookViewId="0">
      <selection activeCell="A2" sqref="A2:D2"/>
    </sheetView>
  </sheetViews>
  <sheetFormatPr baseColWidth="10" defaultColWidth="8.83203125" defaultRowHeight="15" x14ac:dyDescent="0.2"/>
  <cols>
    <col min="1" max="1" width="4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41</v>
      </c>
      <c r="B1" s="8"/>
      <c r="C1" s="8"/>
      <c r="D1" s="8"/>
    </row>
    <row r="2" spans="1:4" x14ac:dyDescent="0.2">
      <c r="A2" s="7" t="s">
        <v>46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47</v>
      </c>
      <c r="B5" s="2" t="s">
        <v>13</v>
      </c>
      <c r="C5" s="2" t="s">
        <v>40</v>
      </c>
      <c r="D5" s="2">
        <v>3</v>
      </c>
    </row>
    <row r="6" spans="1:4" x14ac:dyDescent="0.2">
      <c r="A6" s="2" t="s">
        <v>48</v>
      </c>
      <c r="B6" s="2" t="s">
        <v>13</v>
      </c>
      <c r="C6" s="2" t="s">
        <v>40</v>
      </c>
      <c r="D6" s="2">
        <v>3</v>
      </c>
    </row>
    <row r="7" spans="1:4" x14ac:dyDescent="0.2">
      <c r="A7" s="2" t="s">
        <v>49</v>
      </c>
      <c r="B7" s="2" t="s">
        <v>13</v>
      </c>
      <c r="C7" s="2" t="s">
        <v>40</v>
      </c>
      <c r="D7" s="2">
        <v>3</v>
      </c>
    </row>
    <row r="8" spans="1:4" x14ac:dyDescent="0.2">
      <c r="A8" s="2" t="s">
        <v>50</v>
      </c>
      <c r="B8" s="2" t="s">
        <v>13</v>
      </c>
      <c r="C8" s="2" t="s">
        <v>40</v>
      </c>
      <c r="D8" s="2">
        <v>3</v>
      </c>
    </row>
    <row r="9" spans="1:4" x14ac:dyDescent="0.2">
      <c r="A9" s="9" t="s">
        <v>5</v>
      </c>
      <c r="B9" s="9"/>
      <c r="C9" s="9"/>
      <c r="D9" s="9"/>
    </row>
    <row r="10" spans="1:4" x14ac:dyDescent="0.2">
      <c r="A10" s="1" t="s">
        <v>6</v>
      </c>
      <c r="B10" s="1" t="s">
        <v>2</v>
      </c>
      <c r="C10" s="1" t="s">
        <v>3</v>
      </c>
      <c r="D10" s="1" t="s">
        <v>4</v>
      </c>
    </row>
    <row r="11" spans="1:4" x14ac:dyDescent="0.2">
      <c r="A11" s="2" t="s">
        <v>51</v>
      </c>
      <c r="B11" s="2" t="s">
        <v>16</v>
      </c>
      <c r="C11" s="2" t="s">
        <v>40</v>
      </c>
      <c r="D11" s="2">
        <v>7</v>
      </c>
    </row>
    <row r="12" spans="1:4" x14ac:dyDescent="0.2">
      <c r="A12" s="9" t="s">
        <v>7</v>
      </c>
      <c r="B12" s="9"/>
      <c r="C12" s="9"/>
      <c r="D12" s="9"/>
    </row>
    <row r="13" spans="1:4" x14ac:dyDescent="0.2">
      <c r="A13" s="7" t="s">
        <v>10</v>
      </c>
      <c r="B13" s="7"/>
      <c r="C13" s="7"/>
      <c r="D13" s="2">
        <f>SUM(D12,D5:D8,D11:D11,)</f>
        <v>19</v>
      </c>
    </row>
    <row r="14" spans="1:4" x14ac:dyDescent="0.2">
      <c r="A14" s="7" t="s">
        <v>9</v>
      </c>
      <c r="B14" s="7"/>
      <c r="C14" s="7"/>
      <c r="D14" s="2">
        <v>1.05</v>
      </c>
    </row>
    <row r="15" spans="1:4" x14ac:dyDescent="0.2">
      <c r="A15" s="7" t="s">
        <v>8</v>
      </c>
      <c r="B15" s="7"/>
      <c r="C15" s="7"/>
      <c r="D15" s="2">
        <f>D13*D14</f>
        <v>19.95</v>
      </c>
    </row>
  </sheetData>
  <mergeCells count="8">
    <mergeCell ref="A13:C13"/>
    <mergeCell ref="A14:C14"/>
    <mergeCell ref="A15:C15"/>
    <mergeCell ref="A1:D1"/>
    <mergeCell ref="A2:D2"/>
    <mergeCell ref="A3:D3"/>
    <mergeCell ref="A9:D9"/>
    <mergeCell ref="A12:D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C4C0-9435-410A-A5E1-43A3D395DCEB}">
  <dimension ref="A1:D16"/>
  <sheetViews>
    <sheetView zoomScale="225" workbookViewId="0">
      <selection activeCell="A13" sqref="A13:D13"/>
    </sheetView>
  </sheetViews>
  <sheetFormatPr baseColWidth="10" defaultColWidth="8.83203125" defaultRowHeight="15" x14ac:dyDescent="0.2"/>
  <cols>
    <col min="1" max="1" width="4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41</v>
      </c>
      <c r="B1" s="8"/>
      <c r="C1" s="8"/>
      <c r="D1" s="8"/>
    </row>
    <row r="2" spans="1:4" x14ac:dyDescent="0.2">
      <c r="A2" s="7" t="s">
        <v>52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53</v>
      </c>
      <c r="B5" s="2" t="s">
        <v>13</v>
      </c>
      <c r="C5" s="2" t="s">
        <v>40</v>
      </c>
      <c r="D5" s="2">
        <v>3</v>
      </c>
    </row>
    <row r="6" spans="1:4" x14ac:dyDescent="0.2">
      <c r="A6" s="2" t="s">
        <v>54</v>
      </c>
      <c r="B6" s="2" t="s">
        <v>13</v>
      </c>
      <c r="C6" s="2" t="s">
        <v>40</v>
      </c>
      <c r="D6" s="2">
        <v>3</v>
      </c>
    </row>
    <row r="7" spans="1:4" x14ac:dyDescent="0.2">
      <c r="A7" s="2" t="s">
        <v>55</v>
      </c>
      <c r="B7" s="2" t="s">
        <v>13</v>
      </c>
      <c r="C7" s="2" t="s">
        <v>40</v>
      </c>
      <c r="D7" s="2">
        <v>3</v>
      </c>
    </row>
    <row r="8" spans="1:4" x14ac:dyDescent="0.2">
      <c r="A8" s="2" t="s">
        <v>56</v>
      </c>
      <c r="B8" s="2" t="s">
        <v>13</v>
      </c>
      <c r="C8" s="2" t="s">
        <v>40</v>
      </c>
      <c r="D8" s="2">
        <v>3</v>
      </c>
    </row>
    <row r="9" spans="1:4" x14ac:dyDescent="0.2">
      <c r="A9" s="9" t="s">
        <v>5</v>
      </c>
      <c r="B9" s="9"/>
      <c r="C9" s="9"/>
      <c r="D9" s="9"/>
    </row>
    <row r="10" spans="1:4" x14ac:dyDescent="0.2">
      <c r="A10" s="1" t="s">
        <v>6</v>
      </c>
      <c r="B10" s="1" t="s">
        <v>2</v>
      </c>
      <c r="C10" s="1" t="s">
        <v>58</v>
      </c>
      <c r="D10" s="1" t="s">
        <v>4</v>
      </c>
    </row>
    <row r="11" spans="1:4" x14ac:dyDescent="0.2">
      <c r="A11" s="10" t="s">
        <v>57</v>
      </c>
      <c r="B11" s="10" t="s">
        <v>16</v>
      </c>
      <c r="C11" s="10" t="s">
        <v>40</v>
      </c>
      <c r="D11" s="10">
        <v>7</v>
      </c>
    </row>
    <row r="12" spans="1:4" x14ac:dyDescent="0.2">
      <c r="A12" s="2" t="s">
        <v>19</v>
      </c>
      <c r="B12" s="2" t="s">
        <v>16</v>
      </c>
      <c r="C12" s="2" t="s">
        <v>14</v>
      </c>
      <c r="D12" s="10">
        <v>7</v>
      </c>
    </row>
    <row r="13" spans="1:4" x14ac:dyDescent="0.2">
      <c r="A13" s="9" t="s">
        <v>7</v>
      </c>
      <c r="B13" s="9"/>
      <c r="C13" s="9"/>
      <c r="D13" s="9"/>
    </row>
    <row r="14" spans="1:4" x14ac:dyDescent="0.2">
      <c r="A14" s="7" t="s">
        <v>10</v>
      </c>
      <c r="B14" s="7"/>
      <c r="C14" s="7"/>
      <c r="D14" s="2">
        <f>SUM(D13,D5:D8,D11:D12)</f>
        <v>26</v>
      </c>
    </row>
    <row r="15" spans="1:4" x14ac:dyDescent="0.2">
      <c r="A15" s="7" t="s">
        <v>9</v>
      </c>
      <c r="B15" s="7"/>
      <c r="C15" s="7"/>
      <c r="D15" s="2">
        <v>1.05</v>
      </c>
    </row>
    <row r="16" spans="1:4" x14ac:dyDescent="0.2">
      <c r="A16" s="7" t="s">
        <v>8</v>
      </c>
      <c r="B16" s="7"/>
      <c r="C16" s="7"/>
      <c r="D16" s="2">
        <f>D14*D15</f>
        <v>27.3</v>
      </c>
    </row>
  </sheetData>
  <mergeCells count="8">
    <mergeCell ref="A15:C15"/>
    <mergeCell ref="A16:C16"/>
    <mergeCell ref="A1:D1"/>
    <mergeCell ref="A2:D2"/>
    <mergeCell ref="A3:D3"/>
    <mergeCell ref="A9:D9"/>
    <mergeCell ref="A13:D13"/>
    <mergeCell ref="A14:C1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D0DE-CCF8-43FB-BB8A-08E25DA6CC12}">
  <dimension ref="A1:D14"/>
  <sheetViews>
    <sheetView zoomScale="150" workbookViewId="0">
      <selection activeCell="A2" sqref="A2:D2"/>
    </sheetView>
  </sheetViews>
  <sheetFormatPr baseColWidth="10" defaultColWidth="8.83203125" defaultRowHeight="15" x14ac:dyDescent="0.2"/>
  <cols>
    <col min="1" max="1" width="4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41</v>
      </c>
      <c r="B1" s="8"/>
      <c r="C1" s="8"/>
      <c r="D1" s="8"/>
    </row>
    <row r="2" spans="1:4" x14ac:dyDescent="0.2">
      <c r="A2" s="7" t="s">
        <v>59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60</v>
      </c>
      <c r="B5" s="2" t="s">
        <v>17</v>
      </c>
      <c r="C5" s="2" t="s">
        <v>40</v>
      </c>
      <c r="D5" s="2">
        <v>3</v>
      </c>
    </row>
    <row r="6" spans="1:4" x14ac:dyDescent="0.2">
      <c r="A6" s="2" t="s">
        <v>61</v>
      </c>
      <c r="B6" s="2" t="s">
        <v>18</v>
      </c>
      <c r="C6" s="2" t="s">
        <v>14</v>
      </c>
      <c r="D6" s="2">
        <v>5</v>
      </c>
    </row>
    <row r="7" spans="1:4" x14ac:dyDescent="0.2">
      <c r="A7" s="2" t="s">
        <v>62</v>
      </c>
      <c r="B7" s="2" t="s">
        <v>18</v>
      </c>
      <c r="C7" s="2" t="s">
        <v>14</v>
      </c>
      <c r="D7" s="2">
        <v>5</v>
      </c>
    </row>
    <row r="8" spans="1:4" x14ac:dyDescent="0.2">
      <c r="A8" s="9" t="s">
        <v>5</v>
      </c>
      <c r="B8" s="9"/>
      <c r="C8" s="9"/>
      <c r="D8" s="9"/>
    </row>
    <row r="9" spans="1:4" x14ac:dyDescent="0.2">
      <c r="A9" s="1" t="s">
        <v>6</v>
      </c>
      <c r="B9" s="1" t="s">
        <v>2</v>
      </c>
      <c r="C9" s="1" t="s">
        <v>3</v>
      </c>
      <c r="D9" s="1" t="s">
        <v>4</v>
      </c>
    </row>
    <row r="10" spans="1:4" x14ac:dyDescent="0.2">
      <c r="A10" s="2" t="s">
        <v>63</v>
      </c>
      <c r="B10" s="2" t="s">
        <v>26</v>
      </c>
      <c r="C10" s="2" t="s">
        <v>40</v>
      </c>
      <c r="D10" s="2">
        <v>5</v>
      </c>
    </row>
    <row r="11" spans="1:4" x14ac:dyDescent="0.2">
      <c r="A11" s="9" t="s">
        <v>7</v>
      </c>
      <c r="B11" s="9"/>
      <c r="C11" s="9"/>
      <c r="D11" s="9"/>
    </row>
    <row r="12" spans="1:4" x14ac:dyDescent="0.2">
      <c r="A12" s="7" t="s">
        <v>10</v>
      </c>
      <c r="B12" s="7"/>
      <c r="C12" s="7"/>
      <c r="D12" s="2">
        <f>SUM(D11,D5:D7,D10:D10)</f>
        <v>18</v>
      </c>
    </row>
    <row r="13" spans="1:4" x14ac:dyDescent="0.2">
      <c r="A13" s="7" t="s">
        <v>9</v>
      </c>
      <c r="B13" s="7"/>
      <c r="C13" s="7"/>
      <c r="D13" s="2">
        <v>1.05</v>
      </c>
    </row>
    <row r="14" spans="1:4" x14ac:dyDescent="0.2">
      <c r="A14" s="7" t="s">
        <v>8</v>
      </c>
      <c r="B14" s="7"/>
      <c r="C14" s="7"/>
      <c r="D14" s="2">
        <f>D12*D13</f>
        <v>18.900000000000002</v>
      </c>
    </row>
  </sheetData>
  <mergeCells count="8">
    <mergeCell ref="A13:C13"/>
    <mergeCell ref="A14:C14"/>
    <mergeCell ref="A1:D1"/>
    <mergeCell ref="A2:D2"/>
    <mergeCell ref="A3:D3"/>
    <mergeCell ref="A8:D8"/>
    <mergeCell ref="A11:D11"/>
    <mergeCell ref="A12:C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6360-4B67-40E9-8936-BD11DDF4754E}">
  <dimension ref="A1:D14"/>
  <sheetViews>
    <sheetView workbookViewId="0">
      <selection sqref="A1:D1"/>
    </sheetView>
  </sheetViews>
  <sheetFormatPr baseColWidth="10" defaultColWidth="8.83203125" defaultRowHeight="15" x14ac:dyDescent="0.2"/>
  <cols>
    <col min="1" max="1" width="4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11</v>
      </c>
      <c r="B1" s="8"/>
      <c r="C1" s="8"/>
      <c r="D1" s="8"/>
    </row>
    <row r="2" spans="1:4" x14ac:dyDescent="0.2">
      <c r="A2" s="7" t="s">
        <v>20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21</v>
      </c>
      <c r="B5" s="2" t="s">
        <v>18</v>
      </c>
      <c r="C5" s="2" t="s">
        <v>25</v>
      </c>
      <c r="D5" s="2">
        <v>7</v>
      </c>
    </row>
    <row r="6" spans="1:4" x14ac:dyDescent="0.2">
      <c r="A6" s="2" t="s">
        <v>22</v>
      </c>
      <c r="B6" s="2" t="s">
        <v>13</v>
      </c>
      <c r="C6" s="2" t="s">
        <v>15</v>
      </c>
      <c r="D6" s="2">
        <v>3</v>
      </c>
    </row>
    <row r="7" spans="1:4" x14ac:dyDescent="0.2">
      <c r="A7" s="9" t="s">
        <v>5</v>
      </c>
      <c r="B7" s="9"/>
      <c r="C7" s="9"/>
      <c r="D7" s="9"/>
    </row>
    <row r="8" spans="1:4" x14ac:dyDescent="0.2">
      <c r="A8" s="1" t="s">
        <v>6</v>
      </c>
      <c r="B8" s="1" t="s">
        <v>2</v>
      </c>
      <c r="C8" s="1" t="s">
        <v>3</v>
      </c>
      <c r="D8" s="1" t="s">
        <v>4</v>
      </c>
    </row>
    <row r="9" spans="1:4" x14ac:dyDescent="0.2">
      <c r="A9" s="2" t="s">
        <v>23</v>
      </c>
      <c r="B9" s="2" t="s">
        <v>16</v>
      </c>
      <c r="C9" s="2" t="s">
        <v>14</v>
      </c>
      <c r="D9" s="2">
        <v>7</v>
      </c>
    </row>
    <row r="10" spans="1:4" x14ac:dyDescent="0.2">
      <c r="A10" s="2" t="s">
        <v>24</v>
      </c>
      <c r="B10" s="2" t="s">
        <v>26</v>
      </c>
      <c r="C10" s="2" t="s">
        <v>25</v>
      </c>
      <c r="D10" s="2">
        <v>10</v>
      </c>
    </row>
    <row r="11" spans="1:4" x14ac:dyDescent="0.2">
      <c r="A11" s="9" t="s">
        <v>7</v>
      </c>
      <c r="B11" s="9"/>
      <c r="C11" s="9"/>
      <c r="D11" s="9"/>
    </row>
    <row r="12" spans="1:4" x14ac:dyDescent="0.2">
      <c r="A12" s="7" t="s">
        <v>10</v>
      </c>
      <c r="B12" s="7"/>
      <c r="C12" s="7"/>
      <c r="D12" s="2">
        <f>SUM(D11,D5:D9,D10:D10)</f>
        <v>27</v>
      </c>
    </row>
    <row r="13" spans="1:4" x14ac:dyDescent="0.2">
      <c r="A13" s="7" t="s">
        <v>9</v>
      </c>
      <c r="B13" s="7"/>
      <c r="C13" s="7"/>
      <c r="D13" s="2">
        <v>1.05</v>
      </c>
    </row>
    <row r="14" spans="1:4" x14ac:dyDescent="0.2">
      <c r="A14" s="7" t="s">
        <v>8</v>
      </c>
      <c r="B14" s="7"/>
      <c r="C14" s="7"/>
      <c r="D14" s="2">
        <f>D12*D13</f>
        <v>28.35</v>
      </c>
    </row>
  </sheetData>
  <mergeCells count="8">
    <mergeCell ref="A13:C13"/>
    <mergeCell ref="A14:C14"/>
    <mergeCell ref="A1:D1"/>
    <mergeCell ref="A2:D2"/>
    <mergeCell ref="A3:D3"/>
    <mergeCell ref="A7:D7"/>
    <mergeCell ref="A11:D11"/>
    <mergeCell ref="A12:C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8004-93D9-4C7A-86AB-5D498C495862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4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11</v>
      </c>
      <c r="B1" s="8"/>
      <c r="C1" s="8"/>
      <c r="D1" s="8"/>
    </row>
    <row r="2" spans="1:4" x14ac:dyDescent="0.2">
      <c r="A2" s="7" t="s">
        <v>27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28</v>
      </c>
      <c r="B5" s="2" t="s">
        <v>17</v>
      </c>
      <c r="C5" s="2" t="s">
        <v>15</v>
      </c>
      <c r="D5" s="2">
        <v>3</v>
      </c>
    </row>
    <row r="6" spans="1:4" x14ac:dyDescent="0.2">
      <c r="A6" s="2" t="s">
        <v>29</v>
      </c>
      <c r="B6" s="2" t="s">
        <v>13</v>
      </c>
      <c r="C6" s="2" t="s">
        <v>14</v>
      </c>
      <c r="D6" s="2">
        <v>4</v>
      </c>
    </row>
    <row r="7" spans="1:4" x14ac:dyDescent="0.2">
      <c r="A7" s="9" t="s">
        <v>5</v>
      </c>
      <c r="B7" s="9"/>
      <c r="C7" s="9"/>
      <c r="D7" s="9"/>
    </row>
    <row r="8" spans="1:4" x14ac:dyDescent="0.2">
      <c r="A8" s="1" t="s">
        <v>6</v>
      </c>
      <c r="B8" s="1" t="s">
        <v>2</v>
      </c>
      <c r="C8" s="1" t="s">
        <v>3</v>
      </c>
      <c r="D8" s="1" t="s">
        <v>4</v>
      </c>
    </row>
    <row r="9" spans="1:4" x14ac:dyDescent="0.2">
      <c r="A9" s="2" t="s">
        <v>30</v>
      </c>
      <c r="B9" s="2" t="s">
        <v>16</v>
      </c>
      <c r="C9" s="2" t="s">
        <v>14</v>
      </c>
      <c r="D9" s="2">
        <v>7</v>
      </c>
    </row>
    <row r="10" spans="1:4" x14ac:dyDescent="0.2">
      <c r="A10" s="9" t="s">
        <v>7</v>
      </c>
      <c r="B10" s="9"/>
      <c r="C10" s="9"/>
      <c r="D10" s="9"/>
    </row>
    <row r="11" spans="1:4" x14ac:dyDescent="0.2">
      <c r="A11" s="7" t="s">
        <v>10</v>
      </c>
      <c r="B11" s="7"/>
      <c r="C11" s="7"/>
      <c r="D11" s="2">
        <f>SUM(D10,D5:D6,D9:D9)</f>
        <v>14</v>
      </c>
    </row>
    <row r="12" spans="1:4" x14ac:dyDescent="0.2">
      <c r="A12" s="7" t="s">
        <v>9</v>
      </c>
      <c r="B12" s="7"/>
      <c r="C12" s="7"/>
      <c r="D12" s="2">
        <v>1.05</v>
      </c>
    </row>
    <row r="13" spans="1:4" x14ac:dyDescent="0.2">
      <c r="A13" s="7" t="s">
        <v>8</v>
      </c>
      <c r="B13" s="7"/>
      <c r="C13" s="7"/>
      <c r="D13" s="2">
        <f>D11*D12</f>
        <v>14.700000000000001</v>
      </c>
    </row>
  </sheetData>
  <mergeCells count="8">
    <mergeCell ref="A12:C12"/>
    <mergeCell ref="A13:C13"/>
    <mergeCell ref="A1:D1"/>
    <mergeCell ref="A2:D2"/>
    <mergeCell ref="A3:D3"/>
    <mergeCell ref="A7:D7"/>
    <mergeCell ref="A10:D10"/>
    <mergeCell ref="A11:C1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7D2B-9D4C-434B-98AF-F8CAEDCA3B59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4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11</v>
      </c>
      <c r="B1" s="8"/>
      <c r="C1" s="8"/>
      <c r="D1" s="8"/>
    </row>
    <row r="2" spans="1:4" x14ac:dyDescent="0.2">
      <c r="A2" s="7" t="s">
        <v>31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32</v>
      </c>
      <c r="B5" s="2" t="s">
        <v>13</v>
      </c>
      <c r="C5" s="2" t="s">
        <v>15</v>
      </c>
      <c r="D5" s="2">
        <v>3</v>
      </c>
    </row>
    <row r="6" spans="1:4" x14ac:dyDescent="0.2">
      <c r="A6" s="2" t="s">
        <v>33</v>
      </c>
      <c r="B6" s="2" t="s">
        <v>13</v>
      </c>
      <c r="C6" s="2" t="s">
        <v>15</v>
      </c>
      <c r="D6" s="2">
        <v>4</v>
      </c>
    </row>
    <row r="7" spans="1:4" x14ac:dyDescent="0.2">
      <c r="A7" s="9" t="s">
        <v>5</v>
      </c>
      <c r="B7" s="9"/>
      <c r="C7" s="9"/>
      <c r="D7" s="9"/>
    </row>
    <row r="8" spans="1:4" x14ac:dyDescent="0.2">
      <c r="A8" s="1" t="s">
        <v>6</v>
      </c>
      <c r="B8" s="1" t="s">
        <v>2</v>
      </c>
      <c r="C8" s="1" t="s">
        <v>3</v>
      </c>
      <c r="D8" s="1" t="s">
        <v>4</v>
      </c>
    </row>
    <row r="9" spans="1:4" x14ac:dyDescent="0.2">
      <c r="A9" s="2" t="s">
        <v>34</v>
      </c>
      <c r="B9" s="2" t="s">
        <v>16</v>
      </c>
      <c r="C9" s="2" t="s">
        <v>15</v>
      </c>
      <c r="D9" s="2">
        <v>5</v>
      </c>
    </row>
    <row r="10" spans="1:4" x14ac:dyDescent="0.2">
      <c r="A10" s="9" t="s">
        <v>7</v>
      </c>
      <c r="B10" s="9"/>
      <c r="C10" s="9"/>
      <c r="D10" s="9"/>
    </row>
    <row r="11" spans="1:4" x14ac:dyDescent="0.2">
      <c r="A11" s="7" t="s">
        <v>10</v>
      </c>
      <c r="B11" s="7"/>
      <c r="C11" s="7"/>
      <c r="D11" s="2">
        <f>SUM(D10,D5:D6,D9:D9)</f>
        <v>12</v>
      </c>
    </row>
    <row r="12" spans="1:4" x14ac:dyDescent="0.2">
      <c r="A12" s="7" t="s">
        <v>9</v>
      </c>
      <c r="B12" s="7"/>
      <c r="C12" s="7"/>
      <c r="D12" s="2">
        <v>1.05</v>
      </c>
    </row>
    <row r="13" spans="1:4" x14ac:dyDescent="0.2">
      <c r="A13" s="7" t="s">
        <v>8</v>
      </c>
      <c r="B13" s="7"/>
      <c r="C13" s="7"/>
      <c r="D13" s="2">
        <f>D11*D12</f>
        <v>12.600000000000001</v>
      </c>
    </row>
  </sheetData>
  <mergeCells count="8">
    <mergeCell ref="A12:C12"/>
    <mergeCell ref="A13:C13"/>
    <mergeCell ref="A1:D1"/>
    <mergeCell ref="A2:D2"/>
    <mergeCell ref="A3:D3"/>
    <mergeCell ref="A7:D7"/>
    <mergeCell ref="A10:D10"/>
    <mergeCell ref="A11:C1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5B23-C9BB-48DC-83C5-75DB8776225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50.5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11</v>
      </c>
      <c r="B1" s="8"/>
      <c r="C1" s="8"/>
      <c r="D1" s="8"/>
    </row>
    <row r="2" spans="1:4" x14ac:dyDescent="0.2">
      <c r="A2" s="7" t="s">
        <v>38</v>
      </c>
      <c r="B2" s="7"/>
      <c r="C2" s="7"/>
      <c r="D2" s="7"/>
    </row>
    <row r="3" spans="1:4" x14ac:dyDescent="0.2">
      <c r="A3" s="9" t="s">
        <v>0</v>
      </c>
      <c r="B3" s="9"/>
      <c r="C3" s="9"/>
      <c r="D3" s="9"/>
    </row>
    <row r="4" spans="1:4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">
      <c r="A5" s="2" t="s">
        <v>35</v>
      </c>
      <c r="B5" s="2" t="s">
        <v>13</v>
      </c>
      <c r="C5" s="2" t="s">
        <v>15</v>
      </c>
      <c r="D5" s="2">
        <v>3</v>
      </c>
    </row>
    <row r="6" spans="1:4" x14ac:dyDescent="0.2">
      <c r="A6" s="2" t="s">
        <v>36</v>
      </c>
      <c r="B6" s="2" t="s">
        <v>13</v>
      </c>
      <c r="C6" s="2" t="s">
        <v>15</v>
      </c>
      <c r="D6" s="2">
        <v>3</v>
      </c>
    </row>
    <row r="7" spans="1:4" x14ac:dyDescent="0.2">
      <c r="A7" s="9" t="s">
        <v>5</v>
      </c>
      <c r="B7" s="9"/>
      <c r="C7" s="9"/>
      <c r="D7" s="9"/>
    </row>
    <row r="8" spans="1:4" x14ac:dyDescent="0.2">
      <c r="A8" s="1" t="s">
        <v>6</v>
      </c>
      <c r="B8" s="1" t="s">
        <v>2</v>
      </c>
      <c r="C8" s="1" t="s">
        <v>3</v>
      </c>
      <c r="D8" s="1" t="s">
        <v>4</v>
      </c>
    </row>
    <row r="9" spans="1:4" x14ac:dyDescent="0.2">
      <c r="A9" s="2" t="s">
        <v>37</v>
      </c>
      <c r="B9" s="2" t="s">
        <v>16</v>
      </c>
      <c r="C9" s="2" t="s">
        <v>14</v>
      </c>
      <c r="D9" s="2">
        <v>7</v>
      </c>
    </row>
    <row r="10" spans="1:4" x14ac:dyDescent="0.2">
      <c r="A10" s="9" t="s">
        <v>7</v>
      </c>
      <c r="B10" s="9"/>
      <c r="C10" s="9"/>
      <c r="D10" s="9"/>
    </row>
    <row r="11" spans="1:4" x14ac:dyDescent="0.2">
      <c r="A11" s="7" t="s">
        <v>10</v>
      </c>
      <c r="B11" s="7"/>
      <c r="C11" s="7"/>
      <c r="D11" s="2">
        <f>SUM(D10,D5:D6,D9:D9)</f>
        <v>13</v>
      </c>
    </row>
    <row r="12" spans="1:4" x14ac:dyDescent="0.2">
      <c r="A12" s="7" t="s">
        <v>9</v>
      </c>
      <c r="B12" s="7"/>
      <c r="C12" s="7"/>
      <c r="D12" s="2">
        <v>1.05</v>
      </c>
    </row>
    <row r="13" spans="1:4" x14ac:dyDescent="0.2">
      <c r="A13" s="7" t="s">
        <v>8</v>
      </c>
      <c r="B13" s="7"/>
      <c r="C13" s="7"/>
      <c r="D13" s="2">
        <f>D11*D12</f>
        <v>13.65</v>
      </c>
    </row>
  </sheetData>
  <mergeCells count="8">
    <mergeCell ref="A12:C12"/>
    <mergeCell ref="A13:C13"/>
    <mergeCell ref="A1:D1"/>
    <mergeCell ref="A2:D2"/>
    <mergeCell ref="A3:D3"/>
    <mergeCell ref="A7:D7"/>
    <mergeCell ref="A10:D10"/>
    <mergeCell ref="A11:C1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abSelected="1" zoomScale="176" workbookViewId="0">
      <selection activeCell="D7" sqref="D7"/>
    </sheetView>
  </sheetViews>
  <sheetFormatPr baseColWidth="10" defaultColWidth="8.83203125" defaultRowHeight="15" x14ac:dyDescent="0.2"/>
  <cols>
    <col min="1" max="1" width="41" customWidth="1"/>
    <col min="2" max="2" width="16.33203125" customWidth="1"/>
    <col min="3" max="3" width="29.83203125" customWidth="1"/>
    <col min="4" max="4" width="19.5" customWidth="1"/>
  </cols>
  <sheetData>
    <row r="1" spans="1:4" ht="24" x14ac:dyDescent="0.3">
      <c r="A1" s="8" t="s">
        <v>39</v>
      </c>
      <c r="B1" s="8"/>
      <c r="C1" s="8"/>
      <c r="D1" s="8"/>
    </row>
    <row r="2" spans="1:4" x14ac:dyDescent="0.2">
      <c r="A2" s="9" t="s">
        <v>7</v>
      </c>
      <c r="B2" s="9"/>
      <c r="C2" s="9"/>
      <c r="D2" s="9"/>
    </row>
    <row r="3" spans="1:4" x14ac:dyDescent="0.2">
      <c r="A3" s="7" t="s">
        <v>64</v>
      </c>
      <c r="B3" s="7"/>
      <c r="C3" s="7"/>
      <c r="D3" s="2">
        <f>SUM('Autenticação e Acesso Discreto '!D13)</f>
        <v>13.65</v>
      </c>
    </row>
    <row r="4" spans="1:4" x14ac:dyDescent="0.2">
      <c r="A4" s="5" t="s">
        <v>65</v>
      </c>
      <c r="B4" s="5"/>
      <c r="C4" s="5"/>
      <c r="D4" s="2">
        <v>19.95</v>
      </c>
    </row>
    <row r="5" spans="1:4" x14ac:dyDescent="0.2">
      <c r="A5" s="5" t="s">
        <v>66</v>
      </c>
      <c r="B5" s="5"/>
      <c r="C5" s="5"/>
      <c r="D5" s="2">
        <f>SUM('Configuração de Emergência'!D16)</f>
        <v>27.3</v>
      </c>
    </row>
    <row r="6" spans="1:4" x14ac:dyDescent="0.2">
      <c r="A6" s="5" t="s">
        <v>67</v>
      </c>
      <c r="B6" s="5"/>
      <c r="C6" s="5"/>
      <c r="D6" s="2">
        <v>18.899999999999999</v>
      </c>
    </row>
    <row r="7" spans="1:4" x14ac:dyDescent="0.2">
      <c r="A7" s="6"/>
      <c r="B7" s="6"/>
      <c r="C7" s="6"/>
      <c r="D7" s="6"/>
    </row>
    <row r="8" spans="1:4" x14ac:dyDescent="0.2">
      <c r="A8" s="7" t="s">
        <v>7</v>
      </c>
      <c r="B8" s="7"/>
      <c r="C8" s="7"/>
      <c r="D8" s="2">
        <f>SUM(D3:D6)</f>
        <v>79.800000000000011</v>
      </c>
    </row>
    <row r="9" spans="1:4" x14ac:dyDescent="0.2">
      <c r="C9" s="3" t="s">
        <v>12</v>
      </c>
      <c r="D9" s="4">
        <f>D8*850</f>
        <v>67830.000000000015</v>
      </c>
    </row>
  </sheetData>
  <mergeCells count="4">
    <mergeCell ref="A8:C8"/>
    <mergeCell ref="A1:D1"/>
    <mergeCell ref="A2:D2"/>
    <mergeCell ref="A3:C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Autenticação e Acesso Discreto </vt:lpstr>
      <vt:lpstr>Gerenciamento de Notas</vt:lpstr>
      <vt:lpstr>Configuração de Emergência</vt:lpstr>
      <vt:lpstr>Processamento de Alerta SOS</vt:lpstr>
      <vt:lpstr>Mapa ao vivo</vt:lpstr>
      <vt:lpstr>Minhas viagens</vt:lpstr>
      <vt:lpstr>Configurações</vt:lpstr>
      <vt:lpstr>Perfil </vt:lpstr>
      <vt:lpstr>Calcular Pontos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osmam</dc:creator>
  <cp:lastModifiedBy>NICOLE SAMPAIO COELHO RODRIGUES</cp:lastModifiedBy>
  <dcterms:created xsi:type="dcterms:W3CDTF">2019-08-13T14:12:38Z</dcterms:created>
  <dcterms:modified xsi:type="dcterms:W3CDTF">2026-04-06T09:46:43Z</dcterms:modified>
</cp:coreProperties>
</file>